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BCC1D73-D328-44A7-9781-482BD93CF5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71" i="1" l="1"/>
  <c r="J74" i="1" s="1"/>
  <c r="J66" i="1"/>
  <c r="B75" i="1"/>
  <c r="B50" i="1"/>
  <c r="K38" i="1"/>
  <c r="K41" i="1" s="1"/>
  <c r="N33" i="1"/>
  <c r="K33" i="1"/>
</calcChain>
</file>

<file path=xl/sharedStrings.xml><?xml version="1.0" encoding="utf-8"?>
<sst xmlns="http://schemas.openxmlformats.org/spreadsheetml/2006/main" count="225" uniqueCount="130">
  <si>
    <t>Shinex UQ Genetic Seeds Pvt.Ltd.,</t>
  </si>
  <si>
    <t>April 2026 to March 2027</t>
  </si>
  <si>
    <t xml:space="preserve">Before March 2026 1,20,000 </t>
  </si>
  <si>
    <t>SL.NO</t>
  </si>
  <si>
    <t>LR No</t>
  </si>
  <si>
    <t>DC No</t>
  </si>
  <si>
    <t>Date</t>
  </si>
  <si>
    <t>Vehicle Number</t>
  </si>
  <si>
    <t>From</t>
  </si>
  <si>
    <t>TO</t>
  </si>
  <si>
    <t>Quantity</t>
  </si>
  <si>
    <t>M/TAX</t>
  </si>
  <si>
    <t>Amount</t>
  </si>
  <si>
    <t>ToPay</t>
  </si>
  <si>
    <t>ToPay-paid</t>
  </si>
  <si>
    <t>ToPay-Balc</t>
  </si>
  <si>
    <t xml:space="preserve">Note </t>
  </si>
  <si>
    <t>894/1124</t>
  </si>
  <si>
    <t>UP25FT5066</t>
  </si>
  <si>
    <t>Medchal</t>
  </si>
  <si>
    <t>Luknow</t>
  </si>
  <si>
    <t>35MT</t>
  </si>
  <si>
    <t>Two days halting at loading point</t>
  </si>
  <si>
    <t>UP70GT0273</t>
  </si>
  <si>
    <t>Raebareli</t>
  </si>
  <si>
    <t>30MT</t>
  </si>
  <si>
    <t>Two days halting Truck cancel</t>
  </si>
  <si>
    <t>JH04Z2686</t>
  </si>
  <si>
    <t>Ranchi</t>
  </si>
  <si>
    <t>12MT</t>
  </si>
  <si>
    <t>164/165</t>
  </si>
  <si>
    <t>1125/26/27</t>
  </si>
  <si>
    <t>AP39TV0267</t>
  </si>
  <si>
    <t>Paid</t>
  </si>
  <si>
    <t>CG04LR6399</t>
  </si>
  <si>
    <t>31MT</t>
  </si>
  <si>
    <t>900/1129</t>
  </si>
  <si>
    <t>AP39WM8829</t>
  </si>
  <si>
    <t>Raipur</t>
  </si>
  <si>
    <t>HP12G7348</t>
  </si>
  <si>
    <t>Bilaspur</t>
  </si>
  <si>
    <t>20MT</t>
  </si>
  <si>
    <t xml:space="preserve">One day halting at loading point </t>
  </si>
  <si>
    <t>AP39UP9666</t>
  </si>
  <si>
    <t>Parkala</t>
  </si>
  <si>
    <t>5 Days halting at unloading point</t>
  </si>
  <si>
    <t>TS07TC2355</t>
  </si>
  <si>
    <t>Huzurbad</t>
  </si>
  <si>
    <t>HR46G4209</t>
  </si>
  <si>
    <t>Kota</t>
  </si>
  <si>
    <t>6MT</t>
  </si>
  <si>
    <t>170/171</t>
  </si>
  <si>
    <t>1131/32</t>
  </si>
  <si>
    <t>HP12G7621</t>
  </si>
  <si>
    <t>Hamipur/Mandi</t>
  </si>
  <si>
    <t>18MT</t>
  </si>
  <si>
    <t>HP12S8136</t>
  </si>
  <si>
    <t>Haminpur</t>
  </si>
  <si>
    <t>AP39U3006</t>
  </si>
  <si>
    <t>Barabanki</t>
  </si>
  <si>
    <t>GJ13AX4948</t>
  </si>
  <si>
    <t>Aslali</t>
  </si>
  <si>
    <t>U&amp;S Transport truck place</t>
  </si>
  <si>
    <t>RJ09GB9317</t>
  </si>
  <si>
    <t>Indore</t>
  </si>
  <si>
    <t>RJ37GA6308</t>
  </si>
  <si>
    <t>Armoor</t>
  </si>
  <si>
    <t>Jaipur</t>
  </si>
  <si>
    <t>AP39WR0489</t>
  </si>
  <si>
    <t>Purnia</t>
  </si>
  <si>
    <t>CG04MT3934</t>
  </si>
  <si>
    <t>AP39UC3929</t>
  </si>
  <si>
    <t>Jabalpur</t>
  </si>
  <si>
    <t>25MT</t>
  </si>
  <si>
    <t>CG08AV5297</t>
  </si>
  <si>
    <t>UP62BT2640</t>
  </si>
  <si>
    <t>Nawada</t>
  </si>
  <si>
    <t>CG08AS2072</t>
  </si>
  <si>
    <t>CG04PP8909</t>
  </si>
  <si>
    <t>04MT</t>
  </si>
  <si>
    <t>AP39UD3564</t>
  </si>
  <si>
    <t>Harnut</t>
  </si>
  <si>
    <t xml:space="preserve">29 bags shortage </t>
  </si>
  <si>
    <t>TS07UG2577</t>
  </si>
  <si>
    <t>1262/4526</t>
  </si>
  <si>
    <t>TG15T6666</t>
  </si>
  <si>
    <t xml:space="preserve">Two days halting at loading point </t>
  </si>
  <si>
    <t>188/189</t>
  </si>
  <si>
    <t>1272/1273</t>
  </si>
  <si>
    <t>TS15UE1122</t>
  </si>
  <si>
    <t>Medchal/huzurabad</t>
  </si>
  <si>
    <t>Raipur/Nawada</t>
  </si>
  <si>
    <t>Three days halting at loading point</t>
  </si>
  <si>
    <t xml:space="preserve">Total </t>
  </si>
  <si>
    <t xml:space="preserve">Advance </t>
  </si>
  <si>
    <t xml:space="preserve">To Billed </t>
  </si>
  <si>
    <t>March 2026 balance</t>
  </si>
  <si>
    <t>ToPay bal</t>
  </si>
  <si>
    <t xml:space="preserve">less adv </t>
  </si>
  <si>
    <t>14-08-2026 (out standing)</t>
  </si>
  <si>
    <t>05-08--2026</t>
  </si>
  <si>
    <t>14-08-2026</t>
  </si>
  <si>
    <t>18-08-2026</t>
  </si>
  <si>
    <t>20-08-2026</t>
  </si>
  <si>
    <t>Note:29 Bags Shortage at Janta agro Bihar 1044Kgs</t>
  </si>
  <si>
    <t>23-08-2026</t>
  </si>
  <si>
    <t>NEW</t>
  </si>
  <si>
    <t xml:space="preserve">Before 14-08-2026 10,000 </t>
  </si>
  <si>
    <t>Lucknow</t>
  </si>
  <si>
    <t>21MT</t>
  </si>
  <si>
    <t>one days halting at Unloading point</t>
  </si>
  <si>
    <t>Raipur(CG)</t>
  </si>
  <si>
    <t>Total</t>
  </si>
  <si>
    <t>Advance Date</t>
  </si>
  <si>
    <t>Old Balance</t>
  </si>
  <si>
    <t>CoockBihar</t>
  </si>
  <si>
    <t>191/192</t>
  </si>
  <si>
    <t>1274/75/76/77/78/79</t>
  </si>
  <si>
    <t>RJ14GN7169</t>
  </si>
  <si>
    <t>Raiganj &amp; Dalkohala</t>
  </si>
  <si>
    <t>halting at 2 days loading pnt &amp;2 days  Unloading pnt</t>
  </si>
  <si>
    <t>193/194</t>
  </si>
  <si>
    <t>1280/1281</t>
  </si>
  <si>
    <t>UP38T6479</t>
  </si>
  <si>
    <t>Sabdhan &amp; kaliachak</t>
  </si>
  <si>
    <t>16-09-2026 (out standing)</t>
  </si>
  <si>
    <t>one days halting at loading point</t>
  </si>
  <si>
    <t>S</t>
  </si>
  <si>
    <t>TS05UF1719</t>
  </si>
  <si>
    <t>Murshidabad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</si>
</sst>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22"/>
      <color theme="1"/>
      <name val="Times New Roman"/>
      <charset val="134"/>
    </font>
    <font>
      <sz val="11"/>
      <color rgb="FFFF0000"/>
      <name val="Times New Roman"/>
      <charset val="134"/>
    </font>
    <font>
      <b/>
      <sz val="16"/>
      <color theme="1"/>
      <name val="Times New Roman"/>
      <charset val="134"/>
    </font>
    <font>
      <b/>
      <sz val="12"/>
      <color theme="0"/>
      <name val="Times New Roman"/>
      <charset val="134"/>
    </font>
    <font>
      <b/>
      <sz val="12"/>
      <color rgb="FFFF0000"/>
      <name val="Times New Roman"/>
      <charset val="134"/>
    </font>
    <font>
      <b/>
      <sz val="11"/>
      <color theme="0"/>
      <name val="Times New Roman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0" xfId="0" applyFont="1" applyFill="1"/>
    <xf numFmtId="0" fontId="1" fillId="0" borderId="1" xfId="0" applyFont="1" applyBorder="1"/>
    <xf numFmtId="0" fontId="6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/>
    <xf numFmtId="3" fontId="2" fillId="0" borderId="0" xfId="0" applyNumberFormat="1" applyFont="1"/>
    <xf numFmtId="0" fontId="1" fillId="3" borderId="1" xfId="0" applyFont="1" applyFill="1" applyBorder="1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3" fontId="1" fillId="9" borderId="1" xfId="0" applyNumberFormat="1" applyFont="1" applyFill="1" applyBorder="1"/>
    <xf numFmtId="14" fontId="2" fillId="0" borderId="1" xfId="0" applyNumberFormat="1" applyFont="1" applyBorder="1"/>
    <xf numFmtId="3" fontId="2" fillId="0" borderId="1" xfId="0" applyNumberFormat="1" applyFont="1" applyBorder="1"/>
    <xf numFmtId="3" fontId="1" fillId="10" borderId="1" xfId="0" applyNumberFormat="1" applyFont="1" applyFill="1" applyBorder="1"/>
    <xf numFmtId="14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center" wrapText="1"/>
    </xf>
    <xf numFmtId="3" fontId="1" fillId="2" borderId="0" xfId="0" applyNumberFormat="1" applyFont="1" applyFill="1"/>
    <xf numFmtId="0" fontId="2" fillId="12" borderId="0" xfId="0" applyFont="1" applyFill="1"/>
    <xf numFmtId="0" fontId="8" fillId="4" borderId="1" xfId="0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/>
    <xf numFmtId="0" fontId="5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11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topLeftCell="A49" zoomScale="99" zoomScaleNormal="81" workbookViewId="0">
      <selection activeCell="L70" sqref="L70"/>
    </sheetView>
  </sheetViews>
  <sheetFormatPr defaultColWidth="8.6640625" defaultRowHeight="13.8"/>
  <cols>
    <col min="1" max="1" width="17.33203125" style="3" customWidth="1"/>
    <col min="2" max="2" width="16.6640625" style="3" customWidth="1"/>
    <col min="3" max="3" width="21" style="3" customWidth="1"/>
    <col min="4" max="4" width="21.21875" style="3" customWidth="1"/>
    <col min="5" max="5" width="21.88671875" style="3" customWidth="1"/>
    <col min="6" max="6" width="15.44140625" style="3" customWidth="1"/>
    <col min="7" max="7" width="18.6640625" style="3" customWidth="1"/>
    <col min="8" max="8" width="15.6640625" style="3" customWidth="1"/>
    <col min="9" max="9" width="16.6640625" style="3" customWidth="1"/>
    <col min="10" max="10" width="11.21875" style="3" customWidth="1"/>
    <col min="11" max="11" width="11.5546875" style="3" customWidth="1"/>
    <col min="12" max="13" width="20.6640625" style="3" customWidth="1"/>
    <col min="14" max="14" width="47.5546875" style="3" customWidth="1"/>
    <col min="15" max="15" width="39.44140625" style="3" customWidth="1"/>
    <col min="16" max="16384" width="8.6640625" style="3"/>
  </cols>
  <sheetData>
    <row r="1" spans="1:15" ht="27.6">
      <c r="B1" s="4"/>
      <c r="C1" s="4"/>
      <c r="D1" s="4"/>
      <c r="E1" s="5"/>
      <c r="F1" s="5"/>
      <c r="G1" s="6" t="s">
        <v>0</v>
      </c>
      <c r="H1" s="7"/>
      <c r="I1" s="5"/>
      <c r="J1" s="8"/>
      <c r="K1" s="2"/>
      <c r="L1" s="9"/>
      <c r="M1" s="9"/>
      <c r="N1" s="9"/>
      <c r="O1" s="10"/>
    </row>
    <row r="2" spans="1:15" ht="31.95" customHeight="1">
      <c r="B2" s="4"/>
      <c r="C2" s="4"/>
      <c r="D2" s="4"/>
      <c r="E2" s="44" t="s">
        <v>1</v>
      </c>
      <c r="F2" s="44"/>
      <c r="G2" s="44"/>
      <c r="H2" s="44"/>
      <c r="I2" s="44"/>
      <c r="J2" s="11"/>
      <c r="K2" s="2"/>
      <c r="L2" s="9"/>
      <c r="M2" s="9"/>
      <c r="N2" s="9"/>
      <c r="O2" s="10"/>
    </row>
    <row r="3" spans="1:15">
      <c r="B3" s="4"/>
      <c r="C3" s="4"/>
      <c r="D3" s="4"/>
      <c r="E3" s="4"/>
      <c r="F3" s="4"/>
      <c r="G3" s="4"/>
      <c r="H3" s="2"/>
      <c r="I3" s="4"/>
      <c r="J3" s="4"/>
      <c r="K3" s="2"/>
      <c r="L3" s="9"/>
      <c r="M3" s="9"/>
      <c r="N3" s="9"/>
      <c r="O3" s="12" t="s">
        <v>2</v>
      </c>
    </row>
    <row r="4" spans="1:15" s="1" customFormat="1" ht="15.6">
      <c r="A4" s="13" t="s">
        <v>3</v>
      </c>
      <c r="B4" s="14" t="s">
        <v>4</v>
      </c>
      <c r="C4" s="14"/>
      <c r="D4" s="14" t="s">
        <v>5</v>
      </c>
      <c r="E4" s="14" t="s">
        <v>6</v>
      </c>
      <c r="F4" s="14" t="s">
        <v>7</v>
      </c>
      <c r="G4" s="14" t="s">
        <v>8</v>
      </c>
      <c r="H4" s="15" t="s">
        <v>9</v>
      </c>
      <c r="I4" s="14" t="s">
        <v>10</v>
      </c>
      <c r="J4" s="14" t="s">
        <v>11</v>
      </c>
      <c r="K4" s="14" t="s">
        <v>12</v>
      </c>
      <c r="L4" s="16" t="s">
        <v>13</v>
      </c>
      <c r="M4" s="16" t="s">
        <v>14</v>
      </c>
      <c r="N4" s="16" t="s">
        <v>15</v>
      </c>
      <c r="O4" s="17" t="s">
        <v>16</v>
      </c>
    </row>
    <row r="5" spans="1:15">
      <c r="A5" s="18">
        <v>1</v>
      </c>
      <c r="B5" s="18">
        <v>162</v>
      </c>
      <c r="C5" s="18"/>
      <c r="D5" s="18" t="s">
        <v>17</v>
      </c>
      <c r="E5" s="19">
        <v>46132</v>
      </c>
      <c r="F5" s="18" t="s">
        <v>18</v>
      </c>
      <c r="G5" s="18" t="s">
        <v>19</v>
      </c>
      <c r="H5" s="18" t="s">
        <v>20</v>
      </c>
      <c r="I5" s="18" t="s">
        <v>21</v>
      </c>
      <c r="J5" s="18"/>
      <c r="K5" s="20">
        <v>149500</v>
      </c>
      <c r="L5" s="18"/>
      <c r="M5" s="18"/>
      <c r="N5" s="18"/>
      <c r="O5" s="21" t="s">
        <v>22</v>
      </c>
    </row>
    <row r="6" spans="1:15">
      <c r="A6" s="18">
        <v>2</v>
      </c>
      <c r="B6" s="18">
        <v>204</v>
      </c>
      <c r="C6" s="18"/>
      <c r="D6" s="18"/>
      <c r="E6" s="19">
        <v>46132</v>
      </c>
      <c r="F6" s="18" t="s">
        <v>23</v>
      </c>
      <c r="G6" s="18" t="s">
        <v>19</v>
      </c>
      <c r="H6" s="18" t="s">
        <v>24</v>
      </c>
      <c r="I6" s="18" t="s">
        <v>25</v>
      </c>
      <c r="J6" s="18"/>
      <c r="K6" s="18">
        <v>10000</v>
      </c>
      <c r="L6" s="18"/>
      <c r="M6" s="18"/>
      <c r="N6" s="18"/>
      <c r="O6" s="21" t="s">
        <v>26</v>
      </c>
    </row>
    <row r="7" spans="1:15">
      <c r="A7" s="18">
        <v>3</v>
      </c>
      <c r="B7" s="18">
        <v>163</v>
      </c>
      <c r="C7" s="18"/>
      <c r="D7" s="18"/>
      <c r="E7" s="19">
        <v>46134</v>
      </c>
      <c r="F7" s="18" t="s">
        <v>27</v>
      </c>
      <c r="G7" s="18" t="s">
        <v>19</v>
      </c>
      <c r="H7" s="18" t="s">
        <v>28</v>
      </c>
      <c r="I7" s="18" t="s">
        <v>29</v>
      </c>
      <c r="J7" s="18"/>
      <c r="K7" s="20">
        <v>79000</v>
      </c>
      <c r="L7" s="18"/>
      <c r="M7" s="18"/>
      <c r="N7" s="18"/>
      <c r="O7" s="21"/>
    </row>
    <row r="8" spans="1:15">
      <c r="A8" s="18">
        <v>4</v>
      </c>
      <c r="B8" s="18" t="s">
        <v>30</v>
      </c>
      <c r="C8" s="18"/>
      <c r="D8" s="18" t="s">
        <v>31</v>
      </c>
      <c r="E8" s="19">
        <v>46137</v>
      </c>
      <c r="F8" s="18" t="s">
        <v>32</v>
      </c>
      <c r="G8" s="18" t="s">
        <v>19</v>
      </c>
      <c r="H8" s="18" t="s">
        <v>24</v>
      </c>
      <c r="I8" s="18" t="s">
        <v>25</v>
      </c>
      <c r="J8" s="18"/>
      <c r="K8" s="18"/>
      <c r="L8" s="20">
        <v>134000</v>
      </c>
      <c r="M8" s="22" t="s">
        <v>33</v>
      </c>
      <c r="N8" s="20"/>
      <c r="O8" s="21"/>
    </row>
    <row r="9" spans="1:15">
      <c r="A9" s="18">
        <v>5</v>
      </c>
      <c r="B9" s="18">
        <v>166</v>
      </c>
      <c r="C9" s="18"/>
      <c r="D9" s="18">
        <v>1128</v>
      </c>
      <c r="E9" s="19">
        <v>46140</v>
      </c>
      <c r="F9" s="18" t="s">
        <v>34</v>
      </c>
      <c r="G9" s="18" t="s">
        <v>19</v>
      </c>
      <c r="H9" s="18" t="s">
        <v>24</v>
      </c>
      <c r="I9" s="18" t="s">
        <v>35</v>
      </c>
      <c r="J9" s="18"/>
      <c r="K9" s="18"/>
      <c r="L9" s="20">
        <v>144150</v>
      </c>
      <c r="M9" s="22" t="s">
        <v>33</v>
      </c>
      <c r="N9" s="20"/>
      <c r="O9" s="21"/>
    </row>
    <row r="10" spans="1:15">
      <c r="A10" s="18">
        <v>6</v>
      </c>
      <c r="B10" s="18">
        <v>167</v>
      </c>
      <c r="C10" s="18"/>
      <c r="D10" s="18" t="s">
        <v>36</v>
      </c>
      <c r="E10" s="19">
        <v>46141</v>
      </c>
      <c r="F10" s="18" t="s">
        <v>37</v>
      </c>
      <c r="G10" s="18" t="s">
        <v>19</v>
      </c>
      <c r="H10" s="18" t="s">
        <v>38</v>
      </c>
      <c r="I10" s="18" t="s">
        <v>21</v>
      </c>
      <c r="J10" s="18"/>
      <c r="K10" s="18">
        <v>92750</v>
      </c>
      <c r="L10" s="18"/>
      <c r="M10" s="18"/>
      <c r="N10" s="18"/>
      <c r="O10" s="21"/>
    </row>
    <row r="11" spans="1:15">
      <c r="A11" s="18">
        <v>7</v>
      </c>
      <c r="B11" s="18">
        <v>168</v>
      </c>
      <c r="C11" s="18"/>
      <c r="D11" s="18">
        <v>1130</v>
      </c>
      <c r="E11" s="19">
        <v>46141</v>
      </c>
      <c r="F11" s="18" t="s">
        <v>39</v>
      </c>
      <c r="G11" s="18" t="s">
        <v>19</v>
      </c>
      <c r="H11" s="18" t="s">
        <v>40</v>
      </c>
      <c r="I11" s="18" t="s">
        <v>41</v>
      </c>
      <c r="J11" s="18"/>
      <c r="K11" s="20">
        <v>170000</v>
      </c>
      <c r="L11" s="18"/>
      <c r="M11" s="18"/>
      <c r="N11" s="18"/>
      <c r="O11" s="21" t="s">
        <v>42</v>
      </c>
    </row>
    <row r="12" spans="1:15">
      <c r="A12" s="18">
        <v>8</v>
      </c>
      <c r="B12" s="18">
        <v>205</v>
      </c>
      <c r="C12" s="18"/>
      <c r="D12" s="18">
        <v>356</v>
      </c>
      <c r="E12" s="19">
        <v>46146</v>
      </c>
      <c r="F12" s="18" t="s">
        <v>43</v>
      </c>
      <c r="G12" s="18" t="s">
        <v>44</v>
      </c>
      <c r="H12" s="18" t="s">
        <v>19</v>
      </c>
      <c r="I12" s="18" t="s">
        <v>21</v>
      </c>
      <c r="J12" s="18">
        <v>7200</v>
      </c>
      <c r="K12" s="20">
        <v>85800</v>
      </c>
      <c r="L12" s="18"/>
      <c r="M12" s="18"/>
      <c r="N12" s="18"/>
      <c r="O12" s="21" t="s">
        <v>45</v>
      </c>
    </row>
    <row r="13" spans="1:15">
      <c r="A13" s="18">
        <v>9</v>
      </c>
      <c r="B13" s="18">
        <v>206</v>
      </c>
      <c r="C13" s="18"/>
      <c r="D13" s="18">
        <v>48</v>
      </c>
      <c r="E13" s="19">
        <v>46146</v>
      </c>
      <c r="F13" s="18" t="s">
        <v>46</v>
      </c>
      <c r="G13" s="18" t="s">
        <v>47</v>
      </c>
      <c r="H13" s="18" t="s">
        <v>19</v>
      </c>
      <c r="I13" s="18" t="s">
        <v>25</v>
      </c>
      <c r="J13" s="18">
        <v>4800</v>
      </c>
      <c r="K13" s="18">
        <v>59800</v>
      </c>
      <c r="L13" s="18"/>
      <c r="M13" s="18"/>
      <c r="N13" s="18"/>
      <c r="O13" s="21" t="s">
        <v>45</v>
      </c>
    </row>
    <row r="14" spans="1:15">
      <c r="A14" s="18">
        <v>10</v>
      </c>
      <c r="B14" s="18">
        <v>169</v>
      </c>
      <c r="C14" s="18"/>
      <c r="D14" s="18">
        <v>1402</v>
      </c>
      <c r="E14" s="19">
        <v>46147</v>
      </c>
      <c r="F14" s="18" t="s">
        <v>48</v>
      </c>
      <c r="G14" s="18" t="s">
        <v>19</v>
      </c>
      <c r="H14" s="18" t="s">
        <v>49</v>
      </c>
      <c r="I14" s="18" t="s">
        <v>50</v>
      </c>
      <c r="J14" s="18"/>
      <c r="K14" s="18">
        <v>58000</v>
      </c>
      <c r="L14" s="18"/>
      <c r="M14" s="18"/>
      <c r="N14" s="18"/>
      <c r="O14" s="21"/>
    </row>
    <row r="15" spans="1:15">
      <c r="A15" s="18">
        <v>11</v>
      </c>
      <c r="B15" s="18" t="s">
        <v>51</v>
      </c>
      <c r="C15" s="18"/>
      <c r="D15" s="18" t="s">
        <v>52</v>
      </c>
      <c r="E15" s="19">
        <v>46147</v>
      </c>
      <c r="F15" s="18" t="s">
        <v>53</v>
      </c>
      <c r="G15" s="18" t="s">
        <v>19</v>
      </c>
      <c r="H15" s="18" t="s">
        <v>54</v>
      </c>
      <c r="I15" s="18" t="s">
        <v>55</v>
      </c>
      <c r="J15" s="18"/>
      <c r="K15" s="20">
        <v>170000</v>
      </c>
      <c r="L15" s="18"/>
      <c r="M15" s="18"/>
      <c r="N15" s="18"/>
      <c r="O15" s="21" t="s">
        <v>42</v>
      </c>
    </row>
    <row r="16" spans="1:15">
      <c r="A16" s="18">
        <v>12</v>
      </c>
      <c r="B16" s="18">
        <v>172</v>
      </c>
      <c r="C16" s="18"/>
      <c r="D16" s="18">
        <v>1133</v>
      </c>
      <c r="E16" s="19">
        <v>46150</v>
      </c>
      <c r="F16" s="18" t="s">
        <v>56</v>
      </c>
      <c r="G16" s="18" t="s">
        <v>19</v>
      </c>
      <c r="H16" s="18" t="s">
        <v>57</v>
      </c>
      <c r="I16" s="18" t="s">
        <v>55</v>
      </c>
      <c r="J16" s="18"/>
      <c r="K16" s="20">
        <v>157000</v>
      </c>
      <c r="L16" s="18"/>
      <c r="M16" s="18"/>
      <c r="N16" s="18"/>
      <c r="O16" s="21" t="s">
        <v>42</v>
      </c>
    </row>
    <row r="17" spans="1:15">
      <c r="A17" s="18">
        <v>13</v>
      </c>
      <c r="B17" s="18">
        <v>169</v>
      </c>
      <c r="C17" s="18"/>
      <c r="D17" s="18">
        <v>1402</v>
      </c>
      <c r="E17" s="19">
        <v>46150</v>
      </c>
      <c r="F17" s="18" t="s">
        <v>58</v>
      </c>
      <c r="G17" s="18" t="s">
        <v>19</v>
      </c>
      <c r="H17" s="18" t="s">
        <v>59</v>
      </c>
      <c r="I17" s="18" t="s">
        <v>25</v>
      </c>
      <c r="J17" s="18"/>
      <c r="K17" s="18"/>
      <c r="L17" s="20">
        <v>150000</v>
      </c>
      <c r="M17" s="22" t="s">
        <v>33</v>
      </c>
      <c r="N17" s="20"/>
      <c r="O17" s="18"/>
    </row>
    <row r="18" spans="1:15">
      <c r="A18" s="18">
        <v>14</v>
      </c>
      <c r="B18" s="18">
        <v>7915</v>
      </c>
      <c r="C18" s="18"/>
      <c r="D18" s="18"/>
      <c r="E18" s="19">
        <v>46151</v>
      </c>
      <c r="F18" s="18" t="s">
        <v>60</v>
      </c>
      <c r="G18" s="18" t="s">
        <v>19</v>
      </c>
      <c r="H18" s="18" t="s">
        <v>61</v>
      </c>
      <c r="I18" s="18" t="s">
        <v>29</v>
      </c>
      <c r="J18" s="18"/>
      <c r="K18" s="20">
        <v>65000</v>
      </c>
      <c r="L18" s="18"/>
      <c r="M18" s="18"/>
      <c r="N18" s="18"/>
      <c r="O18" s="23" t="s">
        <v>62</v>
      </c>
    </row>
    <row r="19" spans="1:15">
      <c r="A19" s="18">
        <v>15</v>
      </c>
      <c r="B19" s="18">
        <v>174</v>
      </c>
      <c r="C19" s="18"/>
      <c r="D19" s="18">
        <v>1135</v>
      </c>
      <c r="E19" s="19">
        <v>46152</v>
      </c>
      <c r="F19" s="18" t="s">
        <v>63</v>
      </c>
      <c r="G19" s="18" t="s">
        <v>19</v>
      </c>
      <c r="H19" s="18" t="s">
        <v>64</v>
      </c>
      <c r="I19" s="18" t="s">
        <v>25</v>
      </c>
      <c r="J19" s="18"/>
      <c r="K19" s="20">
        <v>99000</v>
      </c>
      <c r="L19" s="18"/>
      <c r="M19" s="18"/>
      <c r="N19" s="18"/>
      <c r="O19" s="18"/>
    </row>
    <row r="20" spans="1:15">
      <c r="A20" s="18">
        <v>16</v>
      </c>
      <c r="B20" s="18">
        <v>175</v>
      </c>
      <c r="C20" s="18"/>
      <c r="D20" s="18">
        <v>1404</v>
      </c>
      <c r="E20" s="19">
        <v>46153</v>
      </c>
      <c r="F20" s="18" t="s">
        <v>65</v>
      </c>
      <c r="G20" s="18" t="s">
        <v>66</v>
      </c>
      <c r="H20" s="18" t="s">
        <v>67</v>
      </c>
      <c r="I20" s="18" t="s">
        <v>21</v>
      </c>
      <c r="J20" s="18"/>
      <c r="K20" s="20">
        <v>175000</v>
      </c>
      <c r="L20" s="18"/>
      <c r="M20" s="18"/>
      <c r="N20" s="18"/>
      <c r="O20" s="18"/>
    </row>
    <row r="21" spans="1:15">
      <c r="A21" s="18">
        <v>17</v>
      </c>
      <c r="B21" s="18">
        <v>176</v>
      </c>
      <c r="C21" s="18"/>
      <c r="D21" s="18">
        <v>1137</v>
      </c>
      <c r="E21" s="19">
        <v>46156</v>
      </c>
      <c r="F21" s="18" t="s">
        <v>68</v>
      </c>
      <c r="G21" s="18" t="s">
        <v>19</v>
      </c>
      <c r="H21" s="18" t="s">
        <v>69</v>
      </c>
      <c r="I21" s="18" t="s">
        <v>55</v>
      </c>
      <c r="J21" s="18"/>
      <c r="K21" s="20">
        <v>150000</v>
      </c>
      <c r="L21" s="18"/>
      <c r="M21" s="18"/>
      <c r="N21" s="18"/>
      <c r="O21" s="18"/>
    </row>
    <row r="22" spans="1:15">
      <c r="A22" s="18">
        <v>18</v>
      </c>
      <c r="B22" s="18">
        <v>177</v>
      </c>
      <c r="C22" s="18"/>
      <c r="D22" s="18">
        <v>1138</v>
      </c>
      <c r="E22" s="19">
        <v>46159</v>
      </c>
      <c r="F22" s="18" t="s">
        <v>70</v>
      </c>
      <c r="G22" s="18" t="s">
        <v>19</v>
      </c>
      <c r="H22" s="18" t="s">
        <v>38</v>
      </c>
      <c r="I22" s="18" t="s">
        <v>25</v>
      </c>
      <c r="J22" s="18"/>
      <c r="K22" s="18"/>
      <c r="L22" s="20">
        <v>87000</v>
      </c>
      <c r="M22" s="22" t="s">
        <v>33</v>
      </c>
      <c r="N22" s="20"/>
      <c r="O22" s="18"/>
    </row>
    <row r="23" spans="1:15">
      <c r="A23" s="18">
        <v>19</v>
      </c>
      <c r="B23" s="18">
        <v>180</v>
      </c>
      <c r="C23" s="18"/>
      <c r="D23" s="18">
        <v>1414</v>
      </c>
      <c r="E23" s="19">
        <v>46168</v>
      </c>
      <c r="F23" s="18" t="s">
        <v>71</v>
      </c>
      <c r="G23" s="18" t="s">
        <v>19</v>
      </c>
      <c r="H23" s="18" t="s">
        <v>72</v>
      </c>
      <c r="I23" s="18" t="s">
        <v>73</v>
      </c>
      <c r="J23" s="18"/>
      <c r="K23" s="20">
        <v>89000</v>
      </c>
      <c r="L23" s="18"/>
      <c r="M23" s="18"/>
      <c r="N23" s="18"/>
      <c r="O23" s="18"/>
    </row>
    <row r="24" spans="1:15">
      <c r="A24" s="18">
        <v>20</v>
      </c>
      <c r="B24" s="18">
        <v>181</v>
      </c>
      <c r="C24" s="18"/>
      <c r="D24" s="18">
        <v>1144</v>
      </c>
      <c r="E24" s="19">
        <v>46170</v>
      </c>
      <c r="F24" s="18" t="s">
        <v>74</v>
      </c>
      <c r="G24" s="18" t="s">
        <v>47</v>
      </c>
      <c r="H24" s="18" t="s">
        <v>38</v>
      </c>
      <c r="I24" s="18" t="s">
        <v>25</v>
      </c>
      <c r="J24" s="18"/>
      <c r="K24" s="18"/>
      <c r="L24" s="20">
        <v>87000</v>
      </c>
      <c r="M24" s="20">
        <v>55000</v>
      </c>
      <c r="N24" s="20">
        <v>32000</v>
      </c>
      <c r="O24" s="18"/>
    </row>
    <row r="25" spans="1:15">
      <c r="A25" s="18">
        <v>21</v>
      </c>
      <c r="B25" s="18">
        <v>182</v>
      </c>
      <c r="C25" s="18"/>
      <c r="D25" s="18">
        <v>1145</v>
      </c>
      <c r="E25" s="19">
        <v>46172</v>
      </c>
      <c r="F25" s="18" t="s">
        <v>75</v>
      </c>
      <c r="G25" s="18" t="s">
        <v>19</v>
      </c>
      <c r="H25" s="18" t="s">
        <v>76</v>
      </c>
      <c r="I25" s="18" t="s">
        <v>25</v>
      </c>
      <c r="J25" s="18"/>
      <c r="K25" s="18"/>
      <c r="L25" s="20">
        <v>150000</v>
      </c>
      <c r="M25" s="22" t="s">
        <v>33</v>
      </c>
      <c r="N25" s="20"/>
      <c r="O25" s="18"/>
    </row>
    <row r="26" spans="1:15">
      <c r="A26" s="18">
        <v>22</v>
      </c>
      <c r="B26" s="18">
        <v>183</v>
      </c>
      <c r="C26" s="18"/>
      <c r="D26" s="18">
        <v>1146</v>
      </c>
      <c r="E26" s="19">
        <v>46175</v>
      </c>
      <c r="F26" s="18" t="s">
        <v>77</v>
      </c>
      <c r="G26" s="18" t="s">
        <v>19</v>
      </c>
      <c r="H26" s="18" t="s">
        <v>38</v>
      </c>
      <c r="I26" s="18" t="s">
        <v>29</v>
      </c>
      <c r="J26" s="18"/>
      <c r="K26" s="18"/>
      <c r="L26" s="20">
        <v>40000</v>
      </c>
      <c r="M26" s="22" t="s">
        <v>33</v>
      </c>
      <c r="N26" s="20"/>
      <c r="O26" s="18"/>
    </row>
    <row r="27" spans="1:15">
      <c r="A27" s="18">
        <v>23</v>
      </c>
      <c r="B27" s="18">
        <v>184</v>
      </c>
      <c r="C27" s="18"/>
      <c r="D27" s="18">
        <v>1147</v>
      </c>
      <c r="E27" s="19">
        <v>46175</v>
      </c>
      <c r="F27" s="18" t="s">
        <v>78</v>
      </c>
      <c r="G27" s="18" t="s">
        <v>19</v>
      </c>
      <c r="H27" s="18" t="s">
        <v>38</v>
      </c>
      <c r="I27" s="18" t="s">
        <v>79</v>
      </c>
      <c r="J27" s="18"/>
      <c r="K27" s="18"/>
      <c r="L27" s="20">
        <v>15000</v>
      </c>
      <c r="M27" s="22" t="s">
        <v>33</v>
      </c>
      <c r="N27" s="20"/>
      <c r="O27" s="18"/>
    </row>
    <row r="28" spans="1:15">
      <c r="A28" s="18">
        <v>24</v>
      </c>
      <c r="B28" s="18">
        <v>185</v>
      </c>
      <c r="C28" s="18"/>
      <c r="D28" s="18">
        <v>1148</v>
      </c>
      <c r="E28" s="19">
        <v>46175</v>
      </c>
      <c r="F28" s="18" t="s">
        <v>80</v>
      </c>
      <c r="G28" s="18" t="s">
        <v>19</v>
      </c>
      <c r="H28" s="18" t="s">
        <v>81</v>
      </c>
      <c r="I28" s="18" t="s">
        <v>21</v>
      </c>
      <c r="J28" s="18"/>
      <c r="K28" s="18"/>
      <c r="L28" s="20">
        <v>171500</v>
      </c>
      <c r="M28" s="20">
        <v>50000</v>
      </c>
      <c r="N28" s="20">
        <v>121500</v>
      </c>
      <c r="O28" s="24" t="s">
        <v>82</v>
      </c>
    </row>
    <row r="29" spans="1:15">
      <c r="A29" s="18">
        <v>25</v>
      </c>
      <c r="B29" s="18">
        <v>186</v>
      </c>
      <c r="C29" s="18"/>
      <c r="D29" s="18">
        <v>1149</v>
      </c>
      <c r="E29" s="19">
        <v>46175</v>
      </c>
      <c r="F29" s="18" t="s">
        <v>83</v>
      </c>
      <c r="G29" s="18" t="s">
        <v>47</v>
      </c>
      <c r="H29" s="18" t="s">
        <v>38</v>
      </c>
      <c r="I29" s="18" t="s">
        <v>25</v>
      </c>
      <c r="J29" s="18"/>
      <c r="K29" s="18"/>
      <c r="L29" s="20">
        <v>85000</v>
      </c>
      <c r="M29" s="20">
        <v>65000</v>
      </c>
      <c r="N29" s="20">
        <v>20000</v>
      </c>
      <c r="O29" s="21" t="s">
        <v>42</v>
      </c>
    </row>
    <row r="30" spans="1:15" s="2" customFormat="1">
      <c r="A30" s="18">
        <v>26</v>
      </c>
      <c r="B30" s="18">
        <v>187</v>
      </c>
      <c r="C30" s="18"/>
      <c r="D30" s="18" t="s">
        <v>84</v>
      </c>
      <c r="E30" s="19">
        <v>46183</v>
      </c>
      <c r="F30" s="18" t="s">
        <v>85</v>
      </c>
      <c r="G30" s="18" t="s">
        <v>19</v>
      </c>
      <c r="H30" s="18" t="s">
        <v>81</v>
      </c>
      <c r="I30" s="18" t="s">
        <v>21</v>
      </c>
      <c r="J30" s="18"/>
      <c r="K30" s="18"/>
      <c r="L30" s="20">
        <v>150000</v>
      </c>
      <c r="M30" s="22" t="s">
        <v>33</v>
      </c>
      <c r="N30" s="20"/>
      <c r="O30" s="21" t="s">
        <v>86</v>
      </c>
    </row>
    <row r="31" spans="1:15" s="2" customFormat="1">
      <c r="A31" s="18">
        <v>27</v>
      </c>
      <c r="B31" s="18" t="s">
        <v>87</v>
      </c>
      <c r="C31" s="18"/>
      <c r="D31" s="18" t="s">
        <v>88</v>
      </c>
      <c r="E31" s="19">
        <v>46190</v>
      </c>
      <c r="F31" s="18" t="s">
        <v>89</v>
      </c>
      <c r="G31" s="18" t="s">
        <v>90</v>
      </c>
      <c r="H31" s="18" t="s">
        <v>91</v>
      </c>
      <c r="I31" s="18" t="s">
        <v>25</v>
      </c>
      <c r="J31" s="18"/>
      <c r="K31" s="18"/>
      <c r="L31" s="20">
        <v>160000</v>
      </c>
      <c r="M31" s="20">
        <v>50000</v>
      </c>
      <c r="N31" s="20">
        <v>110000</v>
      </c>
      <c r="O31" s="21" t="s">
        <v>92</v>
      </c>
    </row>
    <row r="33" spans="1:14">
      <c r="J33" s="25" t="s">
        <v>93</v>
      </c>
      <c r="K33" s="26">
        <f>SUM(K5:K31)</f>
        <v>1609850</v>
      </c>
      <c r="M33" s="27"/>
      <c r="N33" s="28">
        <f>SUM(N5:N31)</f>
        <v>283500</v>
      </c>
    </row>
    <row r="34" spans="1:14">
      <c r="J34" s="1"/>
      <c r="K34" s="1"/>
    </row>
    <row r="36" spans="1:14">
      <c r="A36" s="25" t="s">
        <v>94</v>
      </c>
      <c r="B36" s="25" t="s">
        <v>12</v>
      </c>
      <c r="C36" s="29"/>
      <c r="H36" s="30"/>
      <c r="I36" s="13"/>
      <c r="J36" s="13" t="s">
        <v>95</v>
      </c>
      <c r="K36" s="31">
        <v>1609850</v>
      </c>
    </row>
    <row r="37" spans="1:14">
      <c r="A37" s="32">
        <v>46131</v>
      </c>
      <c r="B37" s="30"/>
      <c r="C37" s="26">
        <v>120000</v>
      </c>
      <c r="D37" s="28" t="s">
        <v>96</v>
      </c>
      <c r="H37" s="30"/>
      <c r="I37" s="13"/>
      <c r="J37" s="13" t="s">
        <v>97</v>
      </c>
      <c r="K37" s="28">
        <v>283500</v>
      </c>
    </row>
    <row r="38" spans="1:14">
      <c r="A38" s="32">
        <v>46132</v>
      </c>
      <c r="B38" s="33">
        <v>500000</v>
      </c>
      <c r="C38" s="27"/>
      <c r="H38" s="30"/>
      <c r="I38" s="13"/>
      <c r="J38" s="13"/>
      <c r="K38" s="31">
        <f>SUM(K36:K37)</f>
        <v>1893350</v>
      </c>
    </row>
    <row r="39" spans="1:14">
      <c r="A39" s="32">
        <v>46146</v>
      </c>
      <c r="B39" s="33">
        <v>200000</v>
      </c>
      <c r="C39" s="27"/>
      <c r="H39" s="30"/>
      <c r="I39" s="13"/>
      <c r="J39" s="13" t="s">
        <v>98</v>
      </c>
      <c r="K39" s="26">
        <v>1883350</v>
      </c>
    </row>
    <row r="40" spans="1:14">
      <c r="A40" s="32">
        <v>46156</v>
      </c>
      <c r="B40" s="33">
        <v>500000</v>
      </c>
      <c r="C40" s="27"/>
      <c r="H40" s="30"/>
      <c r="I40" s="13"/>
      <c r="J40" s="13"/>
      <c r="K40" s="30"/>
    </row>
    <row r="41" spans="1:14">
      <c r="A41" s="32">
        <v>46167</v>
      </c>
      <c r="B41" s="33">
        <v>50000</v>
      </c>
      <c r="C41" s="27"/>
      <c r="H41" s="45" t="s">
        <v>99</v>
      </c>
      <c r="I41" s="45"/>
      <c r="J41" s="45"/>
      <c r="K41" s="34">
        <f>K38-K39</f>
        <v>10000</v>
      </c>
    </row>
    <row r="42" spans="1:14">
      <c r="A42" s="32">
        <v>46180</v>
      </c>
      <c r="B42" s="33">
        <v>100000</v>
      </c>
    </row>
    <row r="43" spans="1:14">
      <c r="A43" s="32">
        <v>46190</v>
      </c>
      <c r="B43" s="33">
        <v>100000</v>
      </c>
    </row>
    <row r="44" spans="1:14">
      <c r="A44" s="32">
        <v>46226</v>
      </c>
      <c r="B44" s="33">
        <v>100000</v>
      </c>
    </row>
    <row r="45" spans="1:14">
      <c r="A45" s="35" t="s">
        <v>100</v>
      </c>
      <c r="B45" s="33">
        <v>50000</v>
      </c>
    </row>
    <row r="46" spans="1:14">
      <c r="A46" s="36" t="s">
        <v>101</v>
      </c>
      <c r="B46" s="36">
        <v>100000</v>
      </c>
    </row>
    <row r="47" spans="1:14">
      <c r="A47" s="36" t="s">
        <v>102</v>
      </c>
      <c r="B47" s="30">
        <v>100000</v>
      </c>
    </row>
    <row r="48" spans="1:14" ht="16.8" customHeight="1">
      <c r="A48" s="36" t="s">
        <v>103</v>
      </c>
      <c r="B48" s="30">
        <v>35000</v>
      </c>
      <c r="C48" s="46" t="s">
        <v>104</v>
      </c>
      <c r="D48" s="46"/>
      <c r="E48" s="46"/>
    </row>
    <row r="49" spans="1:16" ht="16.8" customHeight="1">
      <c r="A49" s="36" t="s">
        <v>105</v>
      </c>
      <c r="B49" s="30">
        <v>48350</v>
      </c>
      <c r="C49" s="37"/>
      <c r="D49" s="37"/>
      <c r="E49" s="37"/>
    </row>
    <row r="50" spans="1:16">
      <c r="A50" s="25" t="s">
        <v>93</v>
      </c>
      <c r="B50" s="26">
        <f>SUM(B38:B49)</f>
        <v>1883350</v>
      </c>
      <c r="C50" s="38"/>
    </row>
    <row r="53" spans="1:16">
      <c r="A53" s="39"/>
      <c r="B53" s="39"/>
      <c r="C53" s="39" t="s">
        <v>127</v>
      </c>
      <c r="D53" s="39"/>
      <c r="E53" s="39"/>
      <c r="F53" s="39" t="s">
        <v>106</v>
      </c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7" spans="1:16">
      <c r="N57" s="12" t="s">
        <v>107</v>
      </c>
    </row>
    <row r="58" spans="1:16" ht="15.6">
      <c r="A58" s="40" t="s">
        <v>3</v>
      </c>
      <c r="B58" s="14" t="s">
        <v>4</v>
      </c>
      <c r="C58" s="14" t="s">
        <v>5</v>
      </c>
      <c r="D58" s="14" t="s">
        <v>6</v>
      </c>
      <c r="E58" s="14" t="s">
        <v>7</v>
      </c>
      <c r="F58" s="14" t="s">
        <v>8</v>
      </c>
      <c r="G58" s="15" t="s">
        <v>9</v>
      </c>
      <c r="H58" s="14" t="s">
        <v>10</v>
      </c>
      <c r="I58" s="14" t="s">
        <v>11</v>
      </c>
      <c r="J58" s="14" t="s">
        <v>12</v>
      </c>
      <c r="K58" s="16" t="s">
        <v>13</v>
      </c>
      <c r="L58" s="16" t="s">
        <v>14</v>
      </c>
      <c r="M58" s="16" t="s">
        <v>15</v>
      </c>
      <c r="N58" s="17" t="s">
        <v>16</v>
      </c>
    </row>
    <row r="59" spans="1:16">
      <c r="A59" s="18">
        <v>1</v>
      </c>
      <c r="B59" s="18"/>
      <c r="C59" s="18">
        <v>998</v>
      </c>
      <c r="D59" s="19">
        <v>46256</v>
      </c>
      <c r="E59" s="18" t="s">
        <v>80</v>
      </c>
      <c r="F59" s="18" t="s">
        <v>108</v>
      </c>
      <c r="G59" s="18" t="s">
        <v>19</v>
      </c>
      <c r="H59" s="18" t="s">
        <v>109</v>
      </c>
      <c r="I59" s="18"/>
      <c r="J59" s="20">
        <v>90000</v>
      </c>
      <c r="K59" s="18"/>
      <c r="L59" s="18"/>
      <c r="M59" s="18"/>
      <c r="N59" s="21" t="s">
        <v>110</v>
      </c>
      <c r="O59" s="2"/>
    </row>
    <row r="60" spans="1:16">
      <c r="A60" s="18">
        <v>2</v>
      </c>
      <c r="B60" s="18"/>
      <c r="C60" s="18">
        <v>540</v>
      </c>
      <c r="D60" s="19">
        <v>46268</v>
      </c>
      <c r="E60" s="18" t="s">
        <v>85</v>
      </c>
      <c r="F60" s="18" t="s">
        <v>111</v>
      </c>
      <c r="G60" s="18" t="s">
        <v>19</v>
      </c>
      <c r="H60" s="18" t="s">
        <v>21</v>
      </c>
      <c r="I60" s="18"/>
      <c r="J60" s="20">
        <v>110250</v>
      </c>
      <c r="K60" s="18"/>
      <c r="L60" s="18"/>
      <c r="M60" s="18"/>
      <c r="N60" s="21" t="s">
        <v>110</v>
      </c>
      <c r="O60" s="2"/>
    </row>
    <row r="61" spans="1:16">
      <c r="A61" s="18">
        <v>3</v>
      </c>
      <c r="B61" s="18">
        <v>190</v>
      </c>
      <c r="C61" s="18">
        <v>1416</v>
      </c>
      <c r="D61" s="19">
        <v>46275</v>
      </c>
      <c r="E61" s="18" t="s">
        <v>85</v>
      </c>
      <c r="F61" s="18" t="s">
        <v>19</v>
      </c>
      <c r="G61" s="18" t="s">
        <v>115</v>
      </c>
      <c r="H61" s="18" t="s">
        <v>21</v>
      </c>
      <c r="I61" s="18"/>
      <c r="J61" s="20">
        <v>231000</v>
      </c>
      <c r="K61" s="18"/>
      <c r="L61" s="18"/>
      <c r="M61" s="18"/>
      <c r="N61" s="21" t="s">
        <v>120</v>
      </c>
      <c r="O61" s="2"/>
    </row>
    <row r="62" spans="1:16" ht="19.2" customHeight="1">
      <c r="A62" s="18">
        <v>4</v>
      </c>
      <c r="B62" s="18" t="s">
        <v>116</v>
      </c>
      <c r="C62" s="18" t="s">
        <v>117</v>
      </c>
      <c r="D62" s="19">
        <v>46277</v>
      </c>
      <c r="E62" s="18" t="s">
        <v>118</v>
      </c>
      <c r="F62" s="18" t="s">
        <v>19</v>
      </c>
      <c r="G62" s="18" t="s">
        <v>119</v>
      </c>
      <c r="H62" s="18" t="s">
        <v>25</v>
      </c>
      <c r="I62" s="18"/>
      <c r="J62" s="20">
        <v>165000</v>
      </c>
      <c r="K62" s="18"/>
      <c r="L62" s="18"/>
      <c r="M62" s="18"/>
      <c r="N62" s="18"/>
      <c r="O62" s="2"/>
    </row>
    <row r="63" spans="1:16">
      <c r="A63" s="18">
        <v>5</v>
      </c>
      <c r="B63" s="18" t="s">
        <v>121</v>
      </c>
      <c r="C63" s="18" t="s">
        <v>122</v>
      </c>
      <c r="D63" s="19">
        <v>46281</v>
      </c>
      <c r="E63" s="18" t="s">
        <v>123</v>
      </c>
      <c r="F63" s="18" t="s">
        <v>19</v>
      </c>
      <c r="G63" s="18" t="s">
        <v>124</v>
      </c>
      <c r="H63" s="18" t="s">
        <v>73</v>
      </c>
      <c r="I63" s="18"/>
      <c r="J63" s="20">
        <v>150000</v>
      </c>
      <c r="K63" s="18"/>
      <c r="L63" s="18"/>
      <c r="M63" s="18"/>
      <c r="N63" s="21" t="s">
        <v>126</v>
      </c>
      <c r="O63" s="2"/>
    </row>
    <row r="64" spans="1:16">
      <c r="A64" s="18">
        <v>6</v>
      </c>
      <c r="B64" s="18">
        <v>209</v>
      </c>
      <c r="C64" s="18">
        <v>1417</v>
      </c>
      <c r="D64" s="19">
        <v>46284</v>
      </c>
      <c r="E64" s="18" t="s">
        <v>128</v>
      </c>
      <c r="F64" s="18" t="s">
        <v>19</v>
      </c>
      <c r="G64" s="18" t="s">
        <v>129</v>
      </c>
      <c r="H64" s="18">
        <v>35</v>
      </c>
      <c r="I64" s="18"/>
      <c r="J64" s="20">
        <v>157500</v>
      </c>
      <c r="K64" s="18"/>
      <c r="L64" s="18"/>
      <c r="M64" s="18"/>
      <c r="N64" s="18"/>
      <c r="O64" s="2"/>
    </row>
    <row r="65" spans="1:14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8"/>
      <c r="N65" s="18"/>
    </row>
    <row r="66" spans="1:14">
      <c r="A66" s="41" t="s">
        <v>112</v>
      </c>
      <c r="B66" s="30"/>
      <c r="C66" s="30"/>
      <c r="D66" s="30"/>
      <c r="E66" s="30"/>
      <c r="F66" s="30"/>
      <c r="G66" s="30"/>
      <c r="H66" s="30"/>
      <c r="I66" s="30"/>
      <c r="J66" s="42">
        <f>J59+J60+J61+J62+J63+J64</f>
        <v>903750</v>
      </c>
      <c r="K66" s="30"/>
      <c r="L66" s="30"/>
      <c r="M66" s="30"/>
      <c r="N66" s="30"/>
    </row>
    <row r="69" spans="1:14">
      <c r="A69" s="25" t="s">
        <v>113</v>
      </c>
      <c r="B69" s="25" t="s">
        <v>12</v>
      </c>
      <c r="G69" s="30"/>
      <c r="H69" s="13"/>
      <c r="I69" s="13" t="s">
        <v>95</v>
      </c>
      <c r="J69" s="31">
        <v>903750</v>
      </c>
    </row>
    <row r="70" spans="1:14">
      <c r="A70" s="32">
        <v>46263</v>
      </c>
      <c r="B70" s="30">
        <v>50000</v>
      </c>
      <c r="G70" s="30"/>
      <c r="H70" s="43">
        <v>46248</v>
      </c>
      <c r="I70" s="13" t="s">
        <v>114</v>
      </c>
      <c r="J70" s="28">
        <v>10000</v>
      </c>
    </row>
    <row r="71" spans="1:14">
      <c r="A71" s="32">
        <v>46275</v>
      </c>
      <c r="B71" s="30">
        <v>400000</v>
      </c>
      <c r="G71" s="30"/>
      <c r="H71" s="13"/>
      <c r="I71" s="13"/>
      <c r="J71" s="31">
        <f>SUM(J69:J70)</f>
        <v>913750</v>
      </c>
    </row>
    <row r="72" spans="1:14">
      <c r="A72" s="32"/>
      <c r="B72" s="30"/>
      <c r="G72" s="30"/>
      <c r="H72" s="13"/>
      <c r="I72" s="13" t="s">
        <v>98</v>
      </c>
      <c r="J72" s="26">
        <v>450000</v>
      </c>
    </row>
    <row r="73" spans="1:14">
      <c r="A73" s="5"/>
      <c r="B73" s="5"/>
      <c r="G73" s="30"/>
      <c r="H73" s="13"/>
      <c r="I73" s="13"/>
      <c r="J73" s="30"/>
    </row>
    <row r="74" spans="1:14">
      <c r="A74" s="30"/>
      <c r="B74" s="30"/>
      <c r="G74" s="45" t="s">
        <v>125</v>
      </c>
      <c r="H74" s="45"/>
      <c r="I74" s="45"/>
      <c r="J74" s="34">
        <f>J71-J72</f>
        <v>463750</v>
      </c>
    </row>
    <row r="75" spans="1:14">
      <c r="A75" s="25" t="s">
        <v>93</v>
      </c>
      <c r="B75" s="30">
        <f>B70+B71</f>
        <v>450000</v>
      </c>
    </row>
  </sheetData>
  <mergeCells count="4">
    <mergeCell ref="E2:I2"/>
    <mergeCell ref="H41:J41"/>
    <mergeCell ref="C48:E48"/>
    <mergeCell ref="G74:I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G, Shashikala</dc:creator>
  <cp:lastModifiedBy>Shravan kumar Nunsavath</cp:lastModifiedBy>
  <dcterms:created xsi:type="dcterms:W3CDTF">2026-06-04T13:05:00Z</dcterms:created>
  <dcterms:modified xsi:type="dcterms:W3CDTF">2026-09-20T09:42:36Z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1FB952D1B72B40488B055D6BCC0EBF27_13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